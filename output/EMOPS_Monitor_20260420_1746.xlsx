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panyProfile" sheetId="2" state="visible" r:id="rId2"/>
    <sheet xmlns:r="http://schemas.openxmlformats.org/officeDocument/2006/relationships" name="BalanceSheet" sheetId="3" state="visible" r:id="rId3"/>
    <sheet xmlns:r="http://schemas.openxmlformats.org/officeDocument/2006/relationships" name="FundCommitments" sheetId="4" state="visible" r:id="rId4"/>
    <sheet xmlns:r="http://schemas.openxmlformats.org/officeDocument/2006/relationships" name="PeopleMoves" sheetId="5" state="visible" r:id="rId5"/>
    <sheet xmlns:r="http://schemas.openxmlformats.org/officeDocument/2006/relationships" name="JIRA_Uploa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2" customWidth="1" min="3" max="3"/>
    <col width="26" customWidth="1" min="4" max="4"/>
    <col width="18" customWidth="1" min="5" max="5"/>
    <col width="22" customWidth="1" min="6" max="6"/>
    <col width="24" customWidth="1" min="7" max="7"/>
    <col width="18" customWidth="1" min="8" max="8"/>
  </cols>
  <sheetData>
    <row r="1" ht="20" customHeight="1">
      <c r="A1" s="1" t="inlineStr">
        <is>
          <t>Run Date</t>
        </is>
      </c>
      <c r="B1" s="1" t="inlineStr">
        <is>
          <t>Companies Tracked</t>
        </is>
      </c>
      <c r="C1" s="1" t="inlineStr">
        <is>
          <t>New Fund Commitments</t>
        </is>
      </c>
      <c r="D1" s="1" t="inlineStr">
        <is>
          <t>Changed Fund Commitments</t>
        </is>
      </c>
      <c r="E1" s="1" t="inlineStr">
        <is>
          <t>New People Moves</t>
        </is>
      </c>
      <c r="F1" s="1" t="inlineStr">
        <is>
          <t>Changed People Moves</t>
        </is>
      </c>
      <c r="G1" s="1" t="inlineStr">
        <is>
          <t>Balance Sheets Fetched</t>
        </is>
      </c>
      <c r="H1" s="1" t="inlineStr">
        <is>
          <t>Profiles Fetched</t>
        </is>
      </c>
    </row>
    <row r="2">
      <c r="A2" s="2" t="inlineStr">
        <is>
          <t>2026-04-20 17:46</t>
        </is>
      </c>
      <c r="B2" s="2" t="n">
        <v>24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24</v>
      </c>
      <c r="H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9" customWidth="1" min="3" max="3"/>
    <col width="46" customWidth="1" min="4" max="4"/>
    <col width="15" customWidth="1" min="5" max="5"/>
    <col width="36" customWidth="1" min="6" max="6"/>
    <col width="10" customWidth="1" min="7" max="7"/>
  </cols>
  <sheetData>
    <row r="1" ht="20" customHeight="1">
      <c r="A1" s="1" t="inlineStr">
        <is>
          <t>Stock Code</t>
        </is>
      </c>
      <c r="B1" s="1" t="inlineStr">
        <is>
          <t>Company Name (ZH)</t>
        </is>
      </c>
      <c r="C1" s="1" t="inlineStr">
        <is>
          <t>Company Name (EN)</t>
        </is>
      </c>
      <c r="D1" s="1" t="inlineStr">
        <is>
          <t>Address</t>
        </is>
      </c>
      <c r="E1" s="1" t="inlineStr">
        <is>
          <t>Telephone</t>
        </is>
      </c>
      <c r="F1" s="1" t="inlineStr">
        <is>
          <t>Web Address</t>
        </is>
      </c>
      <c r="G1" s="1" t="inlineStr">
        <is>
          <t>Status</t>
        </is>
      </c>
    </row>
    <row r="2">
      <c r="A2" t="inlineStr">
        <is>
          <t>2881</t>
        </is>
      </c>
      <c r="B2" t="inlineStr">
        <is>
          <t>Fubon Financial Holding Co., Ltd.</t>
        </is>
      </c>
      <c r="C2" t="inlineStr"/>
      <c r="D2" t="inlineStr">
        <is>
          <t>Fubon Financial Holding Co., Ltd.</t>
        </is>
      </c>
      <c r="E2" t="inlineStr">
        <is>
          <t>6636-6636</t>
        </is>
      </c>
      <c r="F2" t="inlineStr">
        <is>
          <t>www.fubon.com</t>
        </is>
      </c>
    </row>
    <row r="3">
      <c r="A3" t="inlineStr">
        <is>
          <t>2882</t>
        </is>
      </c>
      <c r="B3" t="inlineStr">
        <is>
          <t>CATHAY FINANCIAL HOLDING CO., LTD.</t>
        </is>
      </c>
      <c r="C3" t="inlineStr"/>
      <c r="D3" t="inlineStr">
        <is>
          <t>CATHAY FINANCIAL HOLDING CO., LTD.</t>
        </is>
      </c>
      <c r="E3" t="inlineStr">
        <is>
          <t>27087698</t>
        </is>
      </c>
      <c r="F3" t="inlineStr">
        <is>
          <t>www.cathayholdings.com</t>
        </is>
      </c>
    </row>
    <row r="4">
      <c r="A4" t="inlineStr">
        <is>
          <t>2891</t>
        </is>
      </c>
      <c r="B4" t="inlineStr">
        <is>
          <t>CTBC FINANCIAL HOLDING CO., LTD.</t>
        </is>
      </c>
      <c r="C4" t="inlineStr"/>
      <c r="D4" t="inlineStr">
        <is>
          <t>CTBC FINANCIAL HOLDING CO., LTD.</t>
        </is>
      </c>
      <c r="E4" t="inlineStr">
        <is>
          <t>(02)3327-7777</t>
        </is>
      </c>
      <c r="F4" t="inlineStr">
        <is>
          <t>https://www.ctbcholding.com</t>
        </is>
      </c>
    </row>
    <row r="5">
      <c r="A5" t="inlineStr">
        <is>
          <t>2330</t>
        </is>
      </c>
      <c r="B5" t="inlineStr">
        <is>
          <t>Taiwan Semiconductor Manufacturing Co., Ltd.</t>
        </is>
      </c>
      <c r="C5" t="inlineStr"/>
      <c r="D5" t="inlineStr">
        <is>
          <t>Taiwan Semiconductor Manufacturing Co., Ltd.</t>
        </is>
      </c>
      <c r="E5" t="inlineStr">
        <is>
          <t>03-5636688</t>
        </is>
      </c>
      <c r="F5" t="inlineStr">
        <is>
          <t>https://www.tsmc.com</t>
        </is>
      </c>
    </row>
    <row r="6">
      <c r="A6" t="inlineStr">
        <is>
          <t>5874</t>
        </is>
      </c>
      <c r="B6" t="inlineStr">
        <is>
          <t>Nan Shan Life Insurance Co., Ltd.</t>
        </is>
      </c>
      <c r="C6" t="inlineStr"/>
      <c r="D6" t="inlineStr">
        <is>
          <t>Nan Shan Life Insurance Co., Ltd.</t>
        </is>
      </c>
      <c r="E6" t="inlineStr">
        <is>
          <t>(02)8758-8888</t>
        </is>
      </c>
      <c r="F6" t="inlineStr">
        <is>
          <t>http://www.nanshanlife.com.tw</t>
        </is>
      </c>
    </row>
    <row r="7">
      <c r="A7" t="inlineStr">
        <is>
          <t>2317</t>
        </is>
      </c>
      <c r="B7" t="inlineStr">
        <is>
          <t>HON HAI PRECISION IND. CO., LTD.</t>
        </is>
      </c>
      <c r="C7" t="inlineStr"/>
      <c r="D7" t="inlineStr">
        <is>
          <t>HON HAI PRECISION IND. CO., LTD.</t>
        </is>
      </c>
      <c r="E7" t="inlineStr">
        <is>
          <t>(02)2268-3466</t>
        </is>
      </c>
      <c r="F7" t="inlineStr">
        <is>
          <t>https://www.honhai.com/zh-tw</t>
        </is>
      </c>
    </row>
    <row r="8">
      <c r="A8" t="inlineStr">
        <is>
          <t>2886</t>
        </is>
      </c>
      <c r="B8" t="inlineStr">
        <is>
          <t>Mega Financial Holding Company Ltd.</t>
        </is>
      </c>
      <c r="C8" t="inlineStr"/>
      <c r="D8" t="inlineStr">
        <is>
          <t>Mega Financial Holding Company Ltd.</t>
        </is>
      </c>
      <c r="E8" t="inlineStr">
        <is>
          <t>2357-8888</t>
        </is>
      </c>
      <c r="F8" t="inlineStr">
        <is>
          <t>www.megaholdings.com.tw</t>
        </is>
      </c>
    </row>
    <row r="9">
      <c r="A9" t="inlineStr">
        <is>
          <t>2880</t>
        </is>
      </c>
      <c r="B9" t="inlineStr">
        <is>
          <t>HUA NAN FINANCIAL HOLDINGS CO., LTD.</t>
        </is>
      </c>
      <c r="C9" t="inlineStr"/>
      <c r="D9" t="inlineStr">
        <is>
          <t>HUA NAN FINANCIAL HOLDINGS CO., LTD.</t>
        </is>
      </c>
      <c r="E9" t="inlineStr">
        <is>
          <t>23713111</t>
        </is>
      </c>
      <c r="F9" t="inlineStr">
        <is>
          <t>www.hnfhc.com.tw</t>
        </is>
      </c>
    </row>
    <row r="10">
      <c r="A10" t="inlineStr">
        <is>
          <t>5857</t>
        </is>
      </c>
      <c r="B10" t="inlineStr">
        <is>
          <t>land bank of taiwan</t>
        </is>
      </c>
      <c r="C10" t="inlineStr"/>
      <c r="D10" t="inlineStr">
        <is>
          <t>land bank of taiwan</t>
        </is>
      </c>
      <c r="E10" t="inlineStr">
        <is>
          <t>02-23483456</t>
        </is>
      </c>
      <c r="F10" t="inlineStr">
        <is>
          <t>www.landbank.com.tw</t>
        </is>
      </c>
    </row>
    <row r="11">
      <c r="A11" t="inlineStr">
        <is>
          <t>2888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2801</t>
        </is>
      </c>
      <c r="B12" t="inlineStr">
        <is>
          <t>CHANG HWA COMMERCIAL BANK, LTD.</t>
        </is>
      </c>
      <c r="C12" t="inlineStr"/>
      <c r="D12" t="inlineStr">
        <is>
          <t>CHANG HWA COMMERCIAL BANK, LTD.</t>
        </is>
      </c>
      <c r="E12" t="inlineStr">
        <is>
          <t>02-25362951</t>
        </is>
      </c>
      <c r="F12" t="inlineStr">
        <is>
          <t>www.bankchb.com</t>
        </is>
      </c>
    </row>
    <row r="13">
      <c r="A13" t="inlineStr">
        <is>
          <t>2890</t>
        </is>
      </c>
      <c r="B13" t="inlineStr">
        <is>
          <t>SINOPAC  FINANCIAL HOLDINGS COMPANY LIMITED</t>
        </is>
      </c>
      <c r="C13" t="inlineStr"/>
      <c r="D13" t="inlineStr">
        <is>
          <t>SINOPAC  FINANCIAL HOLDINGS COMPANY LIMITED</t>
        </is>
      </c>
      <c r="E13" t="inlineStr">
        <is>
          <t>(02)8161-8935</t>
        </is>
      </c>
      <c r="F13" t="inlineStr">
        <is>
          <t>https://www.sinopac.com/index.html</t>
        </is>
      </c>
    </row>
    <row r="14">
      <c r="A14" t="inlineStr">
        <is>
          <t>5876</t>
        </is>
      </c>
      <c r="B14" t="inlineStr">
        <is>
          <t>THE SHANGHAI COMMERCIAL &amp; SAVINGS BANK, LTD.</t>
        </is>
      </c>
      <c r="C14" t="inlineStr"/>
      <c r="D14" t="inlineStr">
        <is>
          <t>THE SHANGHAI COMMERCIAL &amp; SAVINGS BANK, LTD.</t>
        </is>
      </c>
      <c r="E14" t="inlineStr">
        <is>
          <t>02-25817111</t>
        </is>
      </c>
      <c r="F14" t="inlineStr">
        <is>
          <t>www.scsb.com.tw</t>
        </is>
      </c>
    </row>
    <row r="15">
      <c r="A15" t="inlineStr">
        <is>
          <t>2885</t>
        </is>
      </c>
      <c r="B15" t="inlineStr">
        <is>
          <t>Yuanta Financial Holding Co., Ltd</t>
        </is>
      </c>
      <c r="C15" t="inlineStr"/>
      <c r="D15" t="inlineStr">
        <is>
          <t>Yuanta Financial Holding Co., Ltd</t>
        </is>
      </c>
      <c r="E15" t="inlineStr">
        <is>
          <t>02-27811999</t>
        </is>
      </c>
      <c r="F15" t="inlineStr">
        <is>
          <t>http://www.yuanta.com</t>
        </is>
      </c>
    </row>
    <row r="16">
      <c r="A16" t="inlineStr">
        <is>
          <t>2833</t>
        </is>
      </c>
      <c r="B16" t="inlineStr">
        <is>
          <t>Taiwan Life Insurance Co., Ltd.</t>
        </is>
      </c>
      <c r="C16" t="inlineStr"/>
      <c r="D16" t="inlineStr">
        <is>
          <t>Taiwan Life Insurance Co., Ltd.</t>
        </is>
      </c>
      <c r="E16" t="inlineStr">
        <is>
          <t>(02)8170-9888</t>
        </is>
      </c>
      <c r="F16" t="inlineStr">
        <is>
          <t>http://www.taiwanlife.com</t>
        </is>
      </c>
    </row>
    <row r="17">
      <c r="A17" t="inlineStr">
        <is>
          <t>2867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5873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2382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3231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3711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5859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2454</t>
        </is>
      </c>
      <c r="B23" t="inlineStr">
        <is>
          <t>MediaTek Inc.</t>
        </is>
      </c>
      <c r="C23" t="inlineStr"/>
      <c r="D23" t="inlineStr">
        <is>
          <t>MediaTek Inc.</t>
        </is>
      </c>
      <c r="E23" t="inlineStr">
        <is>
          <t>(03)5670766</t>
        </is>
      </c>
      <c r="F23" t="inlineStr">
        <is>
          <t>http://www.mediatek.com</t>
        </is>
      </c>
    </row>
    <row r="24">
      <c r="A24" t="inlineStr">
        <is>
          <t>2897</t>
        </is>
      </c>
      <c r="B24" t="inlineStr">
        <is>
          <t>O-Bank Co., Ltd.</t>
        </is>
      </c>
      <c r="C24" t="inlineStr"/>
      <c r="D24" t="inlineStr">
        <is>
          <t>O-Bank Co., Ltd.</t>
        </is>
      </c>
      <c r="E24" t="inlineStr">
        <is>
          <t>(02)87527000</t>
        </is>
      </c>
      <c r="F24" t="inlineStr">
        <is>
          <t>www.o-bank.com</t>
        </is>
      </c>
    </row>
    <row r="25">
      <c r="A25" t="inlineStr">
        <is>
          <t>2002</t>
        </is>
      </c>
      <c r="B25" t="inlineStr">
        <is>
          <t>China Steel Corporation</t>
        </is>
      </c>
      <c r="C25" t="inlineStr"/>
      <c r="D25" t="inlineStr">
        <is>
          <t>China Steel Corporation</t>
        </is>
      </c>
      <c r="E25" t="inlineStr">
        <is>
          <t>07-8021111</t>
        </is>
      </c>
      <c r="F25" t="inlineStr">
        <is>
          <t>http://www.csc.com.tw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0" customWidth="1" min="3" max="3"/>
    <col width="20" customWidth="1" min="4" max="4"/>
    <col width="24" customWidth="1" min="5" max="5"/>
    <col width="27" customWidth="1" min="6" max="6"/>
    <col width="31" customWidth="1" min="7" max="7"/>
    <col width="32" customWidth="1" min="8" max="8"/>
    <col width="10" customWidth="1" min="9" max="9"/>
    <col width="12" customWidth="1" min="10" max="10"/>
  </cols>
  <sheetData>
    <row r="1" ht="20" customHeight="1">
      <c r="A1" s="1" t="inlineStr">
        <is>
          <t>Stock Code</t>
        </is>
      </c>
      <c r="B1" s="1" t="inlineStr">
        <is>
          <t>Period</t>
        </is>
      </c>
      <c r="C1" s="1" t="inlineStr">
        <is>
          <t>Currency</t>
        </is>
      </c>
      <c r="D1" s="1" t="inlineStr">
        <is>
          <t>Total Assets (Raw)</t>
        </is>
      </c>
      <c r="E1" s="1" t="inlineStr">
        <is>
          <t>Total Assets (Numeric)</t>
        </is>
      </c>
      <c r="F1" s="1" t="inlineStr">
        <is>
          <t>Investment Property (Raw)</t>
        </is>
      </c>
      <c r="G1" s="1" t="inlineStr">
        <is>
          <t>Investment Property (Numeric)</t>
        </is>
      </c>
      <c r="H1" s="1" t="inlineStr">
        <is>
          <t>AUM (bn)</t>
        </is>
      </c>
      <c r="I1" s="1" t="inlineStr">
        <is>
          <t>Status</t>
        </is>
      </c>
      <c r="J1" s="1" t="inlineStr">
        <is>
          <t>Scraped At</t>
        </is>
      </c>
    </row>
    <row r="2">
      <c r="A2" t="inlineStr">
        <is>
          <t>2881</t>
        </is>
      </c>
      <c r="B2" t="inlineStr">
        <is>
          <t>Financial Statement �w Balance Sheet</t>
        </is>
      </c>
      <c r="C2" t="inlineStr">
        <is>
          <t>TWD</t>
        </is>
      </c>
      <c r="D2" t="inlineStr">
        <is>
          <t>12,875,478,154</t>
        </is>
      </c>
      <c r="E2" s="3" t="n">
        <v>12875478154</v>
      </c>
      <c r="F2" s="3" t="inlineStr">
        <is>
          <t>312,265,435</t>
        </is>
      </c>
      <c r="G2" s="3" t="n">
        <v>312265435</v>
      </c>
      <c r="H2" s="4">
        <f>IF(E2&lt;&gt;"",E2/1000000000,"")</f>
        <v/>
      </c>
    </row>
    <row r="3">
      <c r="A3" t="inlineStr">
        <is>
          <t>2882</t>
        </is>
      </c>
      <c r="B3" t="inlineStr">
        <is>
          <t>Financial Statement �w Balance Sheet</t>
        </is>
      </c>
      <c r="C3" t="inlineStr">
        <is>
          <t>TWD</t>
        </is>
      </c>
      <c r="D3" t="inlineStr">
        <is>
          <t>14,341,618,353</t>
        </is>
      </c>
      <c r="E3" s="3" t="n">
        <v>14341618353</v>
      </c>
      <c r="F3" s="3" t="inlineStr">
        <is>
          <t>504,777,190</t>
        </is>
      </c>
      <c r="G3" s="3" t="n">
        <v>504777190</v>
      </c>
      <c r="H3" s="4">
        <f>IF(E3&lt;&gt;"",E3/1000000000,"")</f>
        <v/>
      </c>
    </row>
    <row r="4">
      <c r="A4" t="inlineStr">
        <is>
          <t>2891</t>
        </is>
      </c>
      <c r="B4" t="inlineStr">
        <is>
          <t>Financial Statement �w Balance Sheet</t>
        </is>
      </c>
      <c r="C4" t="inlineStr">
        <is>
          <t>TWD</t>
        </is>
      </c>
      <c r="D4" t="inlineStr">
        <is>
          <t>9,331,086,670</t>
        </is>
      </c>
      <c r="E4" s="3" t="n">
        <v>9331086670</v>
      </c>
      <c r="F4" s="3" t="inlineStr">
        <is>
          <t>128,884,650</t>
        </is>
      </c>
      <c r="G4" s="3" t="n">
        <v>128884650</v>
      </c>
      <c r="H4" s="4">
        <f>IF(E4&lt;&gt;"",E4/1000000000,"")</f>
        <v/>
      </c>
    </row>
    <row r="5">
      <c r="A5" t="inlineStr">
        <is>
          <t>2330</t>
        </is>
      </c>
      <c r="B5" t="inlineStr">
        <is>
          <t>Financial Statement �w Balance Sheet</t>
        </is>
      </c>
      <c r="C5" t="inlineStr">
        <is>
          <t>TWD</t>
        </is>
      </c>
      <c r="D5" t="inlineStr">
        <is>
          <t>7,933,023,878</t>
        </is>
      </c>
      <c r="E5" s="3" t="n">
        <v>7933023878</v>
      </c>
      <c r="F5" s="3" t="inlineStr"/>
      <c r="G5" s="3" t="n"/>
      <c r="H5" s="4">
        <f>IF(E5&lt;&gt;"",E5/1000000000,"")</f>
        <v/>
      </c>
    </row>
    <row r="6">
      <c r="A6" t="inlineStr">
        <is>
          <t>5874</t>
        </is>
      </c>
      <c r="B6" t="inlineStr">
        <is>
          <t>Financial Statement �w Balance Sheet</t>
        </is>
      </c>
      <c r="C6" t="inlineStr">
        <is>
          <t>TWD</t>
        </is>
      </c>
      <c r="D6" t="inlineStr">
        <is>
          <t>5,631,365,122</t>
        </is>
      </c>
      <c r="E6" s="3" t="n">
        <v>5631365122</v>
      </c>
      <c r="F6" s="3" t="inlineStr">
        <is>
          <t>217,897,040</t>
        </is>
      </c>
      <c r="G6" s="3" t="n">
        <v>217897040</v>
      </c>
      <c r="H6" s="4">
        <f>IF(E6&lt;&gt;"",E6/1000000000,"")</f>
        <v/>
      </c>
    </row>
    <row r="7">
      <c r="A7" t="inlineStr">
        <is>
          <t>2317</t>
        </is>
      </c>
      <c r="B7" t="inlineStr">
        <is>
          <t>Financial Statement �w Balance Sheet</t>
        </is>
      </c>
      <c r="C7" t="inlineStr">
        <is>
          <t>TWD</t>
        </is>
      </c>
      <c r="D7" t="inlineStr">
        <is>
          <t>5,104,672,223</t>
        </is>
      </c>
      <c r="E7" s="3" t="n">
        <v>5104672223</v>
      </c>
      <c r="F7" s="3" t="inlineStr">
        <is>
          <t>9,778,626</t>
        </is>
      </c>
      <c r="G7" s="3" t="n">
        <v>9778626</v>
      </c>
      <c r="H7" s="4">
        <f>IF(E7&lt;&gt;"",E7/1000000000,"")</f>
        <v/>
      </c>
    </row>
    <row r="8">
      <c r="A8" t="inlineStr">
        <is>
          <t>2886</t>
        </is>
      </c>
      <c r="B8" t="inlineStr">
        <is>
          <t>Financial Statement �w Balance Sheet</t>
        </is>
      </c>
      <c r="C8" t="inlineStr">
        <is>
          <t>TWD</t>
        </is>
      </c>
      <c r="D8" t="inlineStr">
        <is>
          <t>5,111,255,144</t>
        </is>
      </c>
      <c r="E8" s="3" t="n">
        <v>5111255144</v>
      </c>
      <c r="F8" s="3" t="inlineStr">
        <is>
          <t>1,686,729</t>
        </is>
      </c>
      <c r="G8" s="3" t="n">
        <v>1686729</v>
      </c>
      <c r="H8" s="4">
        <f>IF(E8&lt;&gt;"",E8/1000000000,"")</f>
        <v/>
      </c>
    </row>
    <row r="9">
      <c r="A9" t="inlineStr">
        <is>
          <t>2880</t>
        </is>
      </c>
      <c r="B9" t="inlineStr">
        <is>
          <t>Financial Statement �w Balance Sheet</t>
        </is>
      </c>
      <c r="C9" t="inlineStr">
        <is>
          <t>TWD</t>
        </is>
      </c>
      <c r="D9" t="inlineStr">
        <is>
          <t>4,324,086,459</t>
        </is>
      </c>
      <c r="E9" s="3" t="n">
        <v>4324086459</v>
      </c>
      <c r="F9" s="3" t="inlineStr">
        <is>
          <t>13,889,856</t>
        </is>
      </c>
      <c r="G9" s="3" t="n">
        <v>13889856</v>
      </c>
      <c r="H9" s="4">
        <f>IF(E9&lt;&gt;"",E9/1000000000,"")</f>
        <v/>
      </c>
    </row>
    <row r="10">
      <c r="A10" t="inlineStr">
        <is>
          <t>5857</t>
        </is>
      </c>
      <c r="B10" t="inlineStr">
        <is>
          <t>Financial Statement �w Balance Sheet</t>
        </is>
      </c>
      <c r="C10" t="inlineStr">
        <is>
          <t>TWD</t>
        </is>
      </c>
      <c r="D10" t="inlineStr">
        <is>
          <t>3,782,443,821</t>
        </is>
      </c>
      <c r="E10" s="3" t="n">
        <v>3782443821</v>
      </c>
      <c r="F10" s="3" t="inlineStr">
        <is>
          <t>23,325,020</t>
        </is>
      </c>
      <c r="G10" s="3" t="n">
        <v>23325020</v>
      </c>
      <c r="H10" s="4">
        <f>IF(E10&lt;&gt;"",E10/1000000000,"")</f>
        <v/>
      </c>
    </row>
    <row r="11">
      <c r="A11" t="inlineStr">
        <is>
          <t>2888</t>
        </is>
      </c>
      <c r="B11" t="inlineStr">
        <is>
          <t>Financial Statement �w Balance Sheet</t>
        </is>
      </c>
      <c r="C11" t="inlineStr">
        <is>
          <t>TWD</t>
        </is>
      </c>
      <c r="D11" t="inlineStr">
        <is>
          <t>5,186,334,042</t>
        </is>
      </c>
      <c r="E11" s="3" t="n">
        <v>5186334042</v>
      </c>
      <c r="F11" s="3" t="inlineStr">
        <is>
          <t>203,753,915</t>
        </is>
      </c>
      <c r="G11" s="3" t="n">
        <v>203753915</v>
      </c>
      <c r="H11" s="4">
        <f>IF(E11&lt;&gt;"",E11/1000000000,"")</f>
        <v/>
      </c>
    </row>
    <row r="12">
      <c r="A12" t="inlineStr">
        <is>
          <t>2801</t>
        </is>
      </c>
      <c r="B12" t="inlineStr"/>
      <c r="C12" t="inlineStr">
        <is>
          <t>TWD</t>
        </is>
      </c>
      <c r="D12" t="inlineStr"/>
      <c r="E12" s="3" t="n"/>
      <c r="F12" s="3" t="inlineStr"/>
      <c r="G12" s="3" t="n"/>
      <c r="H12" s="4">
        <f>IF(E12&lt;&gt;"",E12/1000000000,"")</f>
        <v/>
      </c>
    </row>
    <row r="13">
      <c r="A13" t="inlineStr">
        <is>
          <t>2890</t>
        </is>
      </c>
      <c r="B13" t="inlineStr"/>
      <c r="C13" t="inlineStr">
        <is>
          <t>TWD</t>
        </is>
      </c>
      <c r="D13" t="inlineStr"/>
      <c r="E13" s="3" t="n"/>
      <c r="F13" s="3" t="inlineStr"/>
      <c r="G13" s="3" t="n"/>
      <c r="H13" s="4">
        <f>IF(E13&lt;&gt;"",E13/1000000000,"")</f>
        <v/>
      </c>
    </row>
    <row r="14">
      <c r="A14" t="inlineStr">
        <is>
          <t>5876</t>
        </is>
      </c>
      <c r="B14" t="inlineStr"/>
      <c r="C14" t="inlineStr">
        <is>
          <t>TWD</t>
        </is>
      </c>
      <c r="D14" t="inlineStr"/>
      <c r="E14" s="3" t="n"/>
      <c r="F14" s="3" t="inlineStr"/>
      <c r="G14" s="3" t="n"/>
      <c r="H14" s="4">
        <f>IF(E14&lt;&gt;"",E14/1000000000,"")</f>
        <v/>
      </c>
    </row>
    <row r="15">
      <c r="A15" t="inlineStr">
        <is>
          <t>2885</t>
        </is>
      </c>
      <c r="B15" t="inlineStr"/>
      <c r="C15" t="inlineStr">
        <is>
          <t>TWD</t>
        </is>
      </c>
      <c r="D15" t="inlineStr"/>
      <c r="E15" s="3" t="n"/>
      <c r="F15" s="3" t="inlineStr"/>
      <c r="G15" s="3" t="n"/>
      <c r="H15" s="4">
        <f>IF(E15&lt;&gt;"",E15/1000000000,"")</f>
        <v/>
      </c>
    </row>
    <row r="16">
      <c r="A16" t="inlineStr">
        <is>
          <t>2833</t>
        </is>
      </c>
      <c r="B16" t="inlineStr"/>
      <c r="C16" t="inlineStr">
        <is>
          <t>TWD</t>
        </is>
      </c>
      <c r="D16" t="inlineStr"/>
      <c r="E16" s="3" t="n"/>
      <c r="F16" s="3" t="inlineStr"/>
      <c r="G16" s="3" t="n"/>
      <c r="H16" s="4">
        <f>IF(E16&lt;&gt;"",E16/1000000000,"")</f>
        <v/>
      </c>
    </row>
    <row r="17">
      <c r="A17" t="inlineStr">
        <is>
          <t>2867</t>
        </is>
      </c>
      <c r="B17" t="inlineStr"/>
      <c r="C17" t="inlineStr">
        <is>
          <t>TWD</t>
        </is>
      </c>
      <c r="D17" t="inlineStr"/>
      <c r="E17" s="3" t="n"/>
      <c r="F17" s="3" t="inlineStr"/>
      <c r="G17" s="3" t="n"/>
      <c r="H17" s="4">
        <f>IF(E17&lt;&gt;"",E17/1000000000,"")</f>
        <v/>
      </c>
    </row>
    <row r="18">
      <c r="A18" t="inlineStr">
        <is>
          <t>5873</t>
        </is>
      </c>
      <c r="B18" t="inlineStr"/>
      <c r="C18" t="inlineStr">
        <is>
          <t>TWD</t>
        </is>
      </c>
      <c r="D18" t="inlineStr"/>
      <c r="E18" s="3" t="n"/>
      <c r="F18" s="3" t="inlineStr"/>
      <c r="G18" s="3" t="n"/>
      <c r="H18" s="4">
        <f>IF(E18&lt;&gt;"",E18/1000000000,"")</f>
        <v/>
      </c>
    </row>
    <row r="19">
      <c r="A19" t="inlineStr">
        <is>
          <t>2382</t>
        </is>
      </c>
      <c r="B19" t="inlineStr"/>
      <c r="C19" t="inlineStr">
        <is>
          <t>TWD</t>
        </is>
      </c>
      <c r="D19" t="inlineStr"/>
      <c r="E19" s="3" t="n"/>
      <c r="F19" s="3" t="inlineStr"/>
      <c r="G19" s="3" t="n"/>
      <c r="H19" s="4">
        <f>IF(E19&lt;&gt;"",E19/1000000000,"")</f>
        <v/>
      </c>
    </row>
    <row r="20">
      <c r="A20" t="inlineStr">
        <is>
          <t>3231</t>
        </is>
      </c>
      <c r="B20" t="inlineStr"/>
      <c r="C20" t="inlineStr">
        <is>
          <t>TWD</t>
        </is>
      </c>
      <c r="D20" t="inlineStr"/>
      <c r="E20" s="3" t="n"/>
      <c r="F20" s="3" t="inlineStr"/>
      <c r="G20" s="3" t="n"/>
      <c r="H20" s="4">
        <f>IF(E20&lt;&gt;"",E20/1000000000,"")</f>
        <v/>
      </c>
    </row>
    <row r="21">
      <c r="A21" t="inlineStr">
        <is>
          <t>3711</t>
        </is>
      </c>
      <c r="B21" t="inlineStr"/>
      <c r="C21" t="inlineStr">
        <is>
          <t>TWD</t>
        </is>
      </c>
      <c r="D21" t="inlineStr"/>
      <c r="E21" s="3" t="n"/>
      <c r="F21" s="3" t="inlineStr"/>
      <c r="G21" s="3" t="n"/>
      <c r="H21" s="4">
        <f>IF(E21&lt;&gt;"",E21/1000000000,"")</f>
        <v/>
      </c>
    </row>
    <row r="22">
      <c r="A22" t="inlineStr">
        <is>
          <t>5859</t>
        </is>
      </c>
      <c r="B22" t="inlineStr">
        <is>
          <t>Financial Statement �w Balance Sheet</t>
        </is>
      </c>
      <c r="C22" t="inlineStr">
        <is>
          <t>TWD</t>
        </is>
      </c>
      <c r="D22" t="inlineStr">
        <is>
          <t>786,029,279</t>
        </is>
      </c>
      <c r="E22" s="3" t="n">
        <v>786029279</v>
      </c>
      <c r="F22" s="3" t="inlineStr">
        <is>
          <t>47,602,450</t>
        </is>
      </c>
      <c r="G22" s="3" t="n">
        <v>47602450</v>
      </c>
      <c r="H22" s="4">
        <f>IF(E22&lt;&gt;"",E22/1000000000,"")</f>
        <v/>
      </c>
    </row>
    <row r="23">
      <c r="A23" t="inlineStr">
        <is>
          <t>2454</t>
        </is>
      </c>
      <c r="B23" t="inlineStr">
        <is>
          <t>Financial Statement �w Balance Sheet</t>
        </is>
      </c>
      <c r="C23" t="inlineStr">
        <is>
          <t>TWD</t>
        </is>
      </c>
      <c r="D23" t="inlineStr">
        <is>
          <t>743,784,805</t>
        </is>
      </c>
      <c r="E23" s="3" t="n">
        <v>743784805</v>
      </c>
      <c r="F23" s="3" t="inlineStr">
        <is>
          <t>2,589,782</t>
        </is>
      </c>
      <c r="G23" s="3" t="n">
        <v>2589782</v>
      </c>
      <c r="H23" s="4">
        <f>IF(E23&lt;&gt;"",E23/1000000000,"")</f>
        <v/>
      </c>
    </row>
    <row r="24">
      <c r="A24" t="inlineStr">
        <is>
          <t>2897</t>
        </is>
      </c>
      <c r="B24" t="inlineStr">
        <is>
          <t>Financial Statement �w Balance Sheet</t>
        </is>
      </c>
      <c r="C24" t="inlineStr">
        <is>
          <t>TWD</t>
        </is>
      </c>
      <c r="D24" t="inlineStr">
        <is>
          <t>701,299,097</t>
        </is>
      </c>
      <c r="E24" s="3" t="n">
        <v>701299097</v>
      </c>
      <c r="F24" s="3" t="inlineStr"/>
      <c r="G24" s="3" t="n"/>
      <c r="H24" s="4">
        <f>IF(E24&lt;&gt;"",E24/1000000000,"")</f>
        <v/>
      </c>
    </row>
    <row r="25">
      <c r="A25" t="inlineStr">
        <is>
          <t>2002</t>
        </is>
      </c>
      <c r="B25" t="inlineStr">
        <is>
          <t>Financial Statement �w Balance Sheet</t>
        </is>
      </c>
      <c r="C25" t="inlineStr">
        <is>
          <t>TWD</t>
        </is>
      </c>
      <c r="D25" t="inlineStr">
        <is>
          <t>673,846,973</t>
        </is>
      </c>
      <c r="E25" s="3" t="n">
        <v>673846973</v>
      </c>
      <c r="F25" s="3" t="inlineStr">
        <is>
          <t>9,787,924</t>
        </is>
      </c>
      <c r="G25" s="3" t="n">
        <v>9787924</v>
      </c>
      <c r="H25" s="4">
        <f>IF(E25&lt;&gt;"",E25/1000000000,"")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7" customWidth="1" min="4" max="4"/>
    <col width="25" customWidth="1" min="5" max="5"/>
    <col width="29" customWidth="1" min="6" max="6"/>
    <col width="10" customWidth="1" min="7" max="7"/>
    <col width="10" customWidth="1" min="8" max="8"/>
    <col width="18" customWidth="1" min="9" max="9"/>
    <col width="12" customWidth="1" min="10" max="10"/>
  </cols>
  <sheetData>
    <row r="1" ht="20" customHeight="1">
      <c r="A1" s="1" t="inlineStr">
        <is>
          <t>Stock Code</t>
        </is>
      </c>
      <c r="B1" s="1" t="inlineStr">
        <is>
          <t>Fund Name</t>
        </is>
      </c>
      <c r="C1" s="1" t="inlineStr">
        <is>
          <t>Fund Type</t>
        </is>
      </c>
      <c r="D1" s="1" t="inlineStr">
        <is>
          <t>Commitment Date</t>
        </is>
      </c>
      <c r="E1" s="1" t="inlineStr">
        <is>
          <t>Commitment Amount (Raw)</t>
        </is>
      </c>
      <c r="F1" s="1" t="inlineStr">
        <is>
          <t>Commitment Amount (Numeric)</t>
        </is>
      </c>
      <c r="G1" s="1" t="inlineStr">
        <is>
          <t>Currency</t>
        </is>
      </c>
      <c r="H1" s="1" t="inlineStr">
        <is>
          <t>Status</t>
        </is>
      </c>
      <c r="I1" s="1" t="inlineStr">
        <is>
          <t>Announcement URL</t>
        </is>
      </c>
      <c r="J1" s="1" t="inlineStr">
        <is>
          <t>Scraped 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7" customWidth="1" min="4" max="4"/>
    <col width="13" customWidth="1" min="5" max="5"/>
    <col width="13" customWidth="1" min="6" max="6"/>
    <col width="16" customWidth="1" min="7" max="7"/>
    <col width="10" customWidth="1" min="8" max="8"/>
    <col width="16" customWidth="1" min="9" max="9"/>
    <col width="10" customWidth="1" min="10" max="10"/>
    <col width="18" customWidth="1" min="11" max="11"/>
    <col width="12" customWidth="1" min="12" max="12"/>
  </cols>
  <sheetData>
    <row r="1" ht="20" customHeight="1">
      <c r="A1" s="1" t="inlineStr">
        <is>
          <t>Stock Code</t>
        </is>
      </c>
      <c r="B1" s="1" t="inlineStr">
        <is>
          <t>Role Type</t>
        </is>
      </c>
      <c r="C1" s="1" t="inlineStr">
        <is>
          <t>New Holder</t>
        </is>
      </c>
      <c r="D1" s="1" t="inlineStr">
        <is>
          <t>Previous Holder</t>
        </is>
      </c>
      <c r="E1" s="1" t="inlineStr">
        <is>
          <t>Change Type</t>
        </is>
      </c>
      <c r="F1" s="1" t="inlineStr">
        <is>
          <t>Change Date</t>
        </is>
      </c>
      <c r="G1" s="1" t="inlineStr">
        <is>
          <t>Effective Date</t>
        </is>
      </c>
      <c r="H1" s="1" t="inlineStr">
        <is>
          <t>Reason</t>
        </is>
      </c>
      <c r="I1" s="1" t="inlineStr">
        <is>
          <t>Narrative (EN)</t>
        </is>
      </c>
      <c r="J1" s="1" t="inlineStr">
        <is>
          <t>Status</t>
        </is>
      </c>
      <c r="K1" s="1" t="inlineStr">
        <is>
          <t>Announcement URL</t>
        </is>
      </c>
      <c r="L1" s="1" t="inlineStr">
        <is>
          <t>Scraped 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3" customWidth="1" min="8" max="8"/>
    <col width="10" customWidth="1" min="9" max="9"/>
    <col width="10" customWidth="1" min="10" max="10"/>
    <col width="11" customWidth="1" min="11" max="11"/>
    <col width="14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 ht="20" customHeight="1">
      <c r="A1" s="1" t="inlineStr">
        <is>
          <t>Summary</t>
        </is>
      </c>
      <c r="B1" s="1" t="inlineStr">
        <is>
          <t>Issue Type</t>
        </is>
      </c>
      <c r="C1" s="1" t="inlineStr">
        <is>
          <t>Priority</t>
        </is>
      </c>
      <c r="D1" s="1" t="inlineStr">
        <is>
          <t>Reporter</t>
        </is>
      </c>
      <c r="E1" s="1" t="inlineStr">
        <is>
          <t>Assignee</t>
        </is>
      </c>
      <c r="F1" s="1" t="inlineStr">
        <is>
          <t>Labels</t>
        </is>
      </c>
      <c r="G1" s="1" t="inlineStr">
        <is>
          <t>Component</t>
        </is>
      </c>
      <c r="H1" s="1" t="inlineStr">
        <is>
          <t>Description</t>
        </is>
      </c>
      <c r="I1" s="1" t="inlineStr">
        <is>
          <t>Due Date</t>
        </is>
      </c>
      <c r="J1" s="1" t="inlineStr">
        <is>
          <t>Sprint</t>
        </is>
      </c>
      <c r="K1" s="1" t="inlineStr">
        <is>
          <t>Epic Link</t>
        </is>
      </c>
      <c r="L1" s="1" t="inlineStr">
        <is>
          <t>Story Points</t>
        </is>
      </c>
      <c r="M1" s="1" t="inlineStr">
        <is>
          <t>Custom 1</t>
        </is>
      </c>
      <c r="N1" s="1" t="inlineStr">
        <is>
          <t>Custom 2</t>
        </is>
      </c>
      <c r="O1" s="1" t="inlineStr">
        <is>
          <t>Custom 3</t>
        </is>
      </c>
      <c r="P1" s="1" t="inlineStr">
        <is>
          <t>Custom 4</t>
        </is>
      </c>
      <c r="Q1" s="1" t="inlineStr">
        <is>
          <t>Custom 5</t>
        </is>
      </c>
      <c r="R1" s="1" t="inlineStr">
        <is>
          <t>Custom 6</t>
        </is>
      </c>
      <c r="S1" s="1" t="inlineStr">
        <is>
          <t>Custom 7</t>
        </is>
      </c>
      <c r="T1" s="1" t="inlineStr">
        <is>
          <t>Custom 8</t>
        </is>
      </c>
    </row>
    <row r="2">
      <c r="A2" t="inlineStr">
        <is>
          <t>[JIRA Upload format — to be implemented in next phase]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2026-04-20T09:46:22Z</dcterms:created>
  <dcterms:modified xmlns:dcterms="http://purl.org/dc/terms/" xmlns:xsi="http://www.w3.org/2001/XMLSchema-instance" xsi:type="dcterms:W3CDTF">2026-04-20T09:46:22Z</dcterms:modified>
</cp:coreProperties>
</file>